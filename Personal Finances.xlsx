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6222f6a75d58e/Desktop/"/>
    </mc:Choice>
  </mc:AlternateContent>
  <xr:revisionPtr revIDLastSave="172" documentId="8_{C6BB42C1-C518-4A0E-85C5-BF2FAAEFF37F}" xr6:coauthVersionLast="47" xr6:coauthVersionMax="47" xr10:uidLastSave="{FB9444E6-3FA5-4B13-93CA-A1A9E3C4AEB2}"/>
  <bookViews>
    <workbookView xWindow="-108" yWindow="-108" windowWidth="23256" windowHeight="12456" activeTab="2" xr2:uid="{F1377BA5-44EF-421C-AEA0-DEEC038DF3FC}"/>
  </bookViews>
  <sheets>
    <sheet name="T212" sheetId="1" r:id="rId1"/>
    <sheet name="eSaver" sheetId="2" r:id="rId2"/>
    <sheet name="Wag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D4" i="3"/>
  <c r="D5" i="3"/>
  <c r="D6" i="3"/>
  <c r="D7" i="3"/>
  <c r="D8" i="3"/>
  <c r="D9" i="3"/>
  <c r="D10" i="3"/>
  <c r="D11" i="3"/>
  <c r="D12" i="3"/>
  <c r="D13" i="3"/>
  <c r="D14" i="3"/>
  <c r="D3" i="3"/>
  <c r="H5" i="2"/>
  <c r="H6" i="2"/>
  <c r="H4" i="2"/>
  <c r="H8" i="2" a="1"/>
  <c r="H8" i="2" s="1"/>
  <c r="H3" i="2"/>
  <c r="G6" i="1"/>
  <c r="G3" i="1"/>
  <c r="H2" i="2"/>
  <c r="G8" i="1" a="1"/>
  <c r="G8" i="1" s="1"/>
  <c r="G9" i="1" s="1"/>
  <c r="G5" i="1"/>
  <c r="G4" i="1"/>
  <c r="G2" i="1"/>
  <c r="H2" i="3" l="1"/>
  <c r="H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<sst xmlns="http://schemas.openxmlformats.org/spreadsheetml/2006/main" count="29" uniqueCount="19">
  <si>
    <t>Date</t>
  </si>
  <si>
    <t>Account Total</t>
  </si>
  <si>
    <t>Total Deposited:</t>
  </si>
  <si>
    <t>Year1:</t>
  </si>
  <si>
    <t>Year2:</t>
  </si>
  <si>
    <t>Year3:</t>
  </si>
  <si>
    <t>Year4:</t>
  </si>
  <si>
    <t>Profit:</t>
  </si>
  <si>
    <t>Deposited</t>
  </si>
  <si>
    <t>Week Ending</t>
  </si>
  <si>
    <t>Hours Worked</t>
  </si>
  <si>
    <t>Wage</t>
  </si>
  <si>
    <t>Tips</t>
  </si>
  <si>
    <t>-</t>
  </si>
  <si>
    <t>Total Wage:</t>
  </si>
  <si>
    <t>Total Tips:</t>
  </si>
  <si>
    <t>Total:</t>
  </si>
  <si>
    <t>Profit % :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</si>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</sst>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0.000%"/>
    <numFmt numFmtId="165" formatCode="_-[$£-809]* #,##0.00_-;\-[$£-809]* #,##0.00_-;_-[$£-8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1" applyFont="1"/>
    <xf numFmtId="0" fontId="3" fillId="4" borderId="0" xfId="4" applyAlignment="1">
      <alignment horizontal="right"/>
    </xf>
    <xf numFmtId="44" fontId="1" fillId="5" borderId="0" xfId="5" applyNumberFormat="1" applyAlignment="1">
      <alignment horizontal="left"/>
    </xf>
    <xf numFmtId="44" fontId="1" fillId="5" borderId="0" xfId="5" applyNumberFormat="1"/>
    <xf numFmtId="0" fontId="2" fillId="0" borderId="0" xfId="0" applyFont="1"/>
    <xf numFmtId="0" fontId="3" fillId="2" borderId="0" xfId="2" applyAlignment="1">
      <alignment horizontal="right"/>
    </xf>
    <xf numFmtId="44" fontId="1" fillId="3" borderId="0" xfId="3" applyNumberFormat="1" applyAlignment="1">
      <alignment horizontal="left"/>
    </xf>
    <xf numFmtId="44" fontId="1" fillId="3" borderId="0" xfId="3" applyNumberFormat="1"/>
    <xf numFmtId="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0" fillId="0" borderId="0" xfId="1" applyFont="1" applyAlignment="1">
      <alignment horizontal="center"/>
    </xf>
    <xf numFmtId="164" fontId="0" fillId="0" borderId="0" xfId="6" applyNumberFormat="1" applyFont="1"/>
    <xf numFmtId="165" fontId="0" fillId="0" borderId="0" xfId="1" applyNumberFormat="1" applyFont="1"/>
  </cellXfs>
  <cellStyles count="7">
    <cellStyle name="20% - Accent1" xfId="3" builtinId="30"/>
    <cellStyle name="20% - Accent3" xfId="5" builtinId="38"/>
    <cellStyle name="Accent1" xfId="2" builtinId="29"/>
    <cellStyle name="Accent3" xfId="4" builtinId="37"/>
    <cellStyle name="Currency" xfId="1" builtinId="4"/>
    <cellStyle name="Normal" xfId="0" builtinId="0"/>
    <cellStyle name="Per cent" xfId="6" builtinId="5"/>
  </cellStyles>
  <dxfs count="1">
    <dxf>
      <numFmt numFmtId="165" formatCode="_-[$£-809]* #,##0.00_-;\-[$£-809]* #,##0.0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814620</xdr:colOff>
      <xdr:row>6</xdr:row>
      <xdr:rowOff>113760</xdr:rowOff>
    </xdr:from>
    <xdr:to>
      <xdr:col>2</xdr:col>
      <xdr:colOff>824340</xdr:colOff>
      <xdr:row>6</xdr:row>
      <xdr:rowOff>127080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DAD60EF-596F-E0BD-DAD9-37F0BFE3DAE0}"/>
                </a:ext>
              </a:extLst>
            </xdr14:cNvPr>
            <xdr14:cNvContentPartPr/>
          </xdr14:nvContentPartPr>
          <xdr14:nvPr macro=""/>
          <xdr14:xfrm>
            <a:off x="2193840" y="1211040"/>
            <a:ext cx="9720" cy="133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DAD60EF-596F-E0BD-DAD9-37F0BFE3DA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7720" y="1204920"/>
              <a:ext cx="21960" cy="2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4T09:44:5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17 1904 0 0,'0'0'30'0'0,"0"1"-1"0"0,0 0 0 0 0,0 0 0 0 0,0 0 0 0 0,-1 0 0 0 0,1 0 0 0 0,0 0 0 0 0,0 0 0 0 0,-1-1 1 0 0,1 1-1 0 0,-1 0 0 0 0,1 0 0 0 0,-1-1 0 0 0,1 1 0 0 0,-1 0 0 0 0,0 0 0 0 0,1-1 0 0 0,-1 1 1 0 0,0-1-1 0 0,1 1 0 0 0,-1-1 0 0 0,0 1 0 0 0,0-1 0 0 0,1 1 0 0 0,-1-1 0 0 0,-2 1 0 0 0,3-1-40 0 0,0 0-1 0 0,0 0 0 0 0,0 0 0 0 0,0 0 0 0 0,0 0 1 0 0,0 0-1 0 0,-1 0 0 0 0,1 0 0 0 0,0 0 0 0 0,0 0 1 0 0,0 0-1 0 0,0 0 0 0 0,0 0 0 0 0,0 0 0 0 0,-1 0 1 0 0,1 0-1 0 0,0 0 0 0 0,0 0 0 0 0,0 0 1 0 0,0 0-1 0 0,0 0 0 0 0,0 0 0 0 0,0 0 0 0 0,-1 0 1 0 0,1 0-1 0 0,0 0 0 0 0,0 0 0 0 0,0 0 0 0 0,0 0 1 0 0,0-1-1 0 0,0 1 0 0 0,0 0 0 0 0,0 0 0 0 0,0 0 1 0 0,0 0-1 0 0,-1 0 0 0 0,1 0 0 0 0,0 0 0 0 0,0 0 1 0 0,0-1-1 0 0,0 1 0 0 0,0 0 0 0 0,0 0 0 0 0,0 0 1 0 0,0 0-1 0 0,0 0 0 0 0,0 0 0 0 0,0-1 0 0 0,0 1 1 0 0,0 0-1 0 0,0 0 0 0 0,0 0 0 0 0,11-15-394 0 0,-1 4 91 0 0,-5 4-885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CC922-A877-4943-A491-F630AF43553D}" name="Table1" displayName="Table1" ref="B2:D19" totalsRowShown="0">
  <autoFilter ref="B2:D19" xr:uid="{2FACC922-A877-4943-A491-F630AF43553D}"/>
  <tableColumns count="3">
    <tableColumn id="1" xr3:uid="{FD3C9313-3118-407C-A3FF-CE12EA5EDF7F}" name="Deposited" dataDxfId="0" dataCellStyle="Currency"/>
    <tableColumn id="2" xr3:uid="{5E1854CB-13AE-48E1-8CA0-5B6E10F3FB80}" name="Date"/>
    <tableColumn id="3" xr3:uid="{2096B5DE-0916-4A98-B881-86F9E29748E9}" name="Account Total" dataCellStyle="Currency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5BE6D1-4CCF-4202-84E7-954E31524AA1}" name="Table15" displayName="Table15" ref="B2:D19" totalsRowShown="0">
  <autoFilter ref="B2:D19" xr:uid="{4A5BE6D1-4CCF-4202-84E7-954E31524AA1}"/>
  <tableColumns count="3">
    <tableColumn id="1" xr3:uid="{3F321E17-5535-46CA-8202-4DED41FF4017}" name="Deposited"/>
    <tableColumn id="2" xr3:uid="{1168AB44-529B-4897-90B1-0265BD07C1B7}" name="Date"/>
    <tableColumn id="3" xr3:uid="{0FE1E57B-DE4A-49D7-A603-99691AFF7CFD}" name="Account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3ACE-FC09-456F-86FA-F043BB5C98E6}">
  <dimension ref="B2:G20"/>
  <sheetViews>
    <sheetView workbookViewId="0">
      <selection activeCell="D5" sqref="D5"/>
    </sheetView>
  </sheetViews>
  <sheetFormatPr defaultRowHeight="14.4" x14ac:dyDescent="0.3"/>
  <cols>
    <col min="2" max="2" width="11.77734375" bestFit="1" customWidth="1"/>
    <col min="3" max="3" width="15.6640625" customWidth="1"/>
    <col min="4" max="4" width="14.44140625" bestFit="1" customWidth="1"/>
    <col min="6" max="6" width="14" bestFit="1" customWidth="1"/>
    <col min="7" max="7" width="10.44140625" bestFit="1" customWidth="1"/>
  </cols>
  <sheetData>
    <row r="2" spans="2:7" x14ac:dyDescent="0.3">
      <c r="B2" t="s">
        <v>8</v>
      </c>
      <c r="C2" t="s">
        <v>0</v>
      </c>
      <c r="D2" t="s">
        <v>1</v>
      </c>
      <c r="F2" s="3" t="s">
        <v>2</v>
      </c>
      <c r="G2" s="4">
        <f>SUM(B:B)</f>
        <v>2400</v>
      </c>
    </row>
    <row r="3" spans="2:7" x14ac:dyDescent="0.3">
      <c r="B3" s="15">
        <v>2000</v>
      </c>
      <c r="C3" s="1">
        <v>45923</v>
      </c>
      <c r="D3" s="2">
        <v>2013.88</v>
      </c>
      <c r="F3" s="3" t="s">
        <v>3</v>
      </c>
      <c r="G3" s="4">
        <f>SUMIFS(B3:B19,C3:C19, "&gt;=01/09/2025",C3:C19,"&lt;01/09/2026")</f>
        <v>2400</v>
      </c>
    </row>
    <row r="4" spans="2:7" x14ac:dyDescent="0.3">
      <c r="B4" s="15">
        <v>400</v>
      </c>
      <c r="C4" s="1">
        <v>45938</v>
      </c>
      <c r="D4" s="2">
        <v>2413.9699999999998</v>
      </c>
      <c r="F4" s="3" t="s">
        <v>4</v>
      </c>
      <c r="G4" s="4">
        <f>SUMIFS(B3:B19,C3:C19, "&gt;=01/09/2026",C3:C19,"&lt;01/09/2027")</f>
        <v>0</v>
      </c>
    </row>
    <row r="5" spans="2:7" x14ac:dyDescent="0.3">
      <c r="B5" s="15"/>
      <c r="D5" s="2"/>
      <c r="F5" s="3" t="s">
        <v>5</v>
      </c>
      <c r="G5" s="4">
        <f>SUMIFS(B3:B19,C3:C19, "&gt;=01/09/2027",C3:C19,"&lt;01/09/2028")</f>
        <v>0</v>
      </c>
    </row>
    <row r="6" spans="2:7" x14ac:dyDescent="0.3">
      <c r="B6" s="15"/>
      <c r="D6" s="2"/>
      <c r="F6" s="3" t="s">
        <v>6</v>
      </c>
      <c r="G6" s="4">
        <f>SUMIFS(B3:B19,C3:C19, "&gt;=01/09/2028",C3:C19,"&lt;01/09/2029")</f>
        <v>0</v>
      </c>
    </row>
    <row r="7" spans="2:7" x14ac:dyDescent="0.3">
      <c r="B7" s="15"/>
      <c r="D7" s="2"/>
    </row>
    <row r="8" spans="2:7" x14ac:dyDescent="0.3">
      <c r="B8" s="15"/>
      <c r="D8" s="2"/>
      <c r="F8" s="3" t="s">
        <v>7</v>
      </c>
      <c r="G8" s="5" cm="1">
        <f t="array" ref="G8">LOOKUP(2,1/(D:D&lt;&gt;""),D:D) - G2</f>
        <v>13.9699999999998</v>
      </c>
    </row>
    <row r="9" spans="2:7" x14ac:dyDescent="0.3">
      <c r="B9" s="15"/>
      <c r="D9" s="2"/>
      <c r="F9" s="3" t="s">
        <v>17</v>
      </c>
      <c r="G9" s="14">
        <f>G8/G2</f>
        <v>5.82083333333325E-3</v>
      </c>
    </row>
    <row r="10" spans="2:7" x14ac:dyDescent="0.3">
      <c r="B10" s="15"/>
      <c r="D10" s="2"/>
    </row>
    <row r="11" spans="2:7" x14ac:dyDescent="0.3">
      <c r="B11" s="15"/>
      <c r="D11" s="2"/>
    </row>
    <row r="12" spans="2:7" x14ac:dyDescent="0.3">
      <c r="B12" s="15"/>
      <c r="D12" s="2"/>
    </row>
    <row r="13" spans="2:7" x14ac:dyDescent="0.3">
      <c r="B13" s="15"/>
      <c r="D13" s="2"/>
    </row>
    <row r="14" spans="2:7" x14ac:dyDescent="0.3">
      <c r="B14" s="15"/>
      <c r="D14" s="2"/>
    </row>
    <row r="15" spans="2:7" x14ac:dyDescent="0.3">
      <c r="B15" s="15"/>
      <c r="D15" s="2"/>
    </row>
    <row r="16" spans="2:7" x14ac:dyDescent="0.3">
      <c r="B16" s="15"/>
      <c r="D16" s="2"/>
    </row>
    <row r="17" spans="2:4" x14ac:dyDescent="0.3">
      <c r="B17" s="15"/>
      <c r="D17" s="2"/>
    </row>
    <row r="18" spans="2:4" x14ac:dyDescent="0.3">
      <c r="B18" s="15"/>
      <c r="D18" s="2"/>
    </row>
    <row r="19" spans="2:4" x14ac:dyDescent="0.3">
      <c r="B19" s="15"/>
      <c r="D19" s="2"/>
    </row>
    <row r="20" spans="2:4" x14ac:dyDescent="0.3">
      <c r="D2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CFE0-D970-40E5-8984-F4752FBD4AF6}">
  <dimension ref="B2:H8"/>
  <sheetViews>
    <sheetView workbookViewId="0">
      <selection activeCell="H10" sqref="H10"/>
    </sheetView>
  </sheetViews>
  <sheetFormatPr defaultRowHeight="14.4" x14ac:dyDescent="0.3"/>
  <cols>
    <col min="2" max="2" width="11.77734375" bestFit="1" customWidth="1"/>
    <col min="3" max="3" width="11.44140625" customWidth="1"/>
    <col min="4" max="4" width="14.44140625" bestFit="1" customWidth="1"/>
    <col min="5" max="5" width="8.88671875" style="6"/>
    <col min="8" max="8" width="11.44140625" bestFit="1" customWidth="1"/>
  </cols>
  <sheetData>
    <row r="2" spans="2:8" x14ac:dyDescent="0.3">
      <c r="B2" t="s">
        <v>8</v>
      </c>
      <c r="C2" t="s">
        <v>0</v>
      </c>
      <c r="D2" t="s">
        <v>1</v>
      </c>
      <c r="G2" s="7" t="s">
        <v>2</v>
      </c>
      <c r="H2" s="8">
        <f>SUM(B:B)</f>
        <v>1504.18</v>
      </c>
    </row>
    <row r="3" spans="2:8" x14ac:dyDescent="0.3">
      <c r="B3" s="2">
        <v>1504.18</v>
      </c>
      <c r="C3" s="1">
        <v>45923</v>
      </c>
      <c r="D3" s="2">
        <v>1504.18</v>
      </c>
      <c r="G3" s="7" t="s">
        <v>3</v>
      </c>
      <c r="H3" s="8">
        <f>SUMIFS(B3:B19,C3:C19, "&gt;=01/09/2025",C3:C19,"&lt;01/09/2026")</f>
        <v>1504.18</v>
      </c>
    </row>
    <row r="4" spans="2:8" x14ac:dyDescent="0.3">
      <c r="G4" s="7" t="s">
        <v>4</v>
      </c>
      <c r="H4" s="8">
        <f>SUMIFS(B3:B20,C3:C20, "&gt;=01/09/2026",C3:C20,"&lt;01/09/2027")</f>
        <v>0</v>
      </c>
    </row>
    <row r="5" spans="2:8" x14ac:dyDescent="0.3">
      <c r="G5" s="7" t="s">
        <v>5</v>
      </c>
      <c r="H5" s="8">
        <f>SUMIFS(B3:B21,C3:C21, "&gt;=01/09/2027",C3:C21,"&lt;01/09/2028")</f>
        <v>0</v>
      </c>
    </row>
    <row r="6" spans="2:8" x14ac:dyDescent="0.3">
      <c r="G6" s="7" t="s">
        <v>6</v>
      </c>
      <c r="H6" s="8">
        <f>SUMIFS(B3:B22,C3:C22, "&gt;=01/09/2028",C3:C22,"&lt;01/09/2029")</f>
        <v>0</v>
      </c>
    </row>
    <row r="8" spans="2:8" x14ac:dyDescent="0.3">
      <c r="G8" s="7" t="s">
        <v>7</v>
      </c>
      <c r="H8" s="9" cm="1">
        <f t="array" ref="H8">LOOKUP(2,1/(D:D&lt;&gt;""),D:D) - H2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44CF-F51A-40EB-A66D-48C798DCD567}">
  <dimension ref="B1:H14"/>
  <sheetViews>
    <sheetView tabSelected="1" topLeftCell="A7" zoomScale="325" zoomScaleNormal="325" workbookViewId="0">
      <selection activeCell="E13" sqref="E13"/>
    </sheetView>
  </sheetViews>
  <sheetFormatPr defaultRowHeight="14.4" x14ac:dyDescent="0.3"/>
  <cols>
    <col min="2" max="2" width="11.21875" bestFit="1" customWidth="1"/>
    <col min="3" max="3" width="12.44140625" bestFit="1" customWidth="1"/>
    <col min="7" max="7" width="10.33203125" bestFit="1" customWidth="1"/>
  </cols>
  <sheetData>
    <row r="1" spans="2:8" x14ac:dyDescent="0.3">
      <c r="E1" t="s">
        <v>18</v>
      </c>
      <c r="F1" t="s">
        <v>12</v>
      </c>
    </row>
    <row r="2" spans="2:8" x14ac:dyDescent="0.3">
      <c r="B2" t="s">
        <v>9</v>
      </c>
      <c r="C2" t="s">
        <v>10</v>
      </c>
      <c r="D2" t="s">
        <v>11</v>
      </c>
      <c r="G2" s="12" t="s">
        <v>14</v>
      </c>
      <c r="H2" s="13">
        <f>SUM(D:D)</f>
        <v>692.5</v>
      </c>
    </row>
    <row r="3" spans="2:8" x14ac:dyDescent="0.3">
      <c r="B3" s="1">
        <v>45928</v>
      </c>
      <c r="C3" s="10">
        <v>18</v>
      </c>
      <c r="D3" s="2">
        <f>C3*10</f>
        <v>180</v>
      </c>
      <c r="E3" s="11" t="s">
        <v>13</v>
      </c>
      <c r="G3" s="12" t="s">
        <v>15</v>
      </c>
      <c r="H3" s="13">
        <f>SUM(E:E)</f>
        <v>122.5</v>
      </c>
    </row>
    <row r="4" spans="2:8" x14ac:dyDescent="0.3">
      <c r="B4" s="1">
        <v>45935</v>
      </c>
      <c r="C4" s="10">
        <v>17</v>
      </c>
      <c r="D4" s="2">
        <f t="shared" ref="D4:D14" si="0">C4*10</f>
        <v>170</v>
      </c>
      <c r="E4" s="13" t="s">
        <v>13</v>
      </c>
      <c r="G4" s="12" t="s">
        <v>16</v>
      </c>
      <c r="H4" s="13">
        <f>H2+H3</f>
        <v>815</v>
      </c>
    </row>
    <row r="5" spans="2:8" x14ac:dyDescent="0.3">
      <c r="B5" s="1">
        <v>45942</v>
      </c>
      <c r="C5" s="10">
        <v>12.5</v>
      </c>
      <c r="D5" s="2">
        <f t="shared" si="0"/>
        <v>125</v>
      </c>
      <c r="E5" s="2">
        <v>43.5</v>
      </c>
    </row>
    <row r="6" spans="2:8" x14ac:dyDescent="0.3">
      <c r="B6" s="1">
        <v>45949</v>
      </c>
      <c r="C6" s="10">
        <v>10.75</v>
      </c>
      <c r="D6" s="2">
        <f t="shared" si="0"/>
        <v>107.5</v>
      </c>
      <c r="E6" s="2">
        <v>30</v>
      </c>
    </row>
    <row r="7" spans="2:8" x14ac:dyDescent="0.3">
      <c r="B7" s="1">
        <v>45956</v>
      </c>
      <c r="C7" s="10">
        <v>11</v>
      </c>
      <c r="D7" s="2">
        <f t="shared" si="0"/>
        <v>110</v>
      </c>
      <c r="E7" s="2">
        <v>49</v>
      </c>
    </row>
    <row r="8" spans="2:8" x14ac:dyDescent="0.3">
      <c r="B8" s="1">
        <v>45963</v>
      </c>
      <c r="C8" s="10"/>
      <c r="D8" s="2">
        <f t="shared" si="0"/>
        <v>0</v>
      </c>
      <c r="E8" s="2"/>
    </row>
    <row r="9" spans="2:8" x14ac:dyDescent="0.3">
      <c r="B9" s="1">
        <v>45970</v>
      </c>
      <c r="C9" s="10"/>
      <c r="D9" s="2">
        <f t="shared" si="0"/>
        <v>0</v>
      </c>
      <c r="E9" s="2"/>
    </row>
    <row r="10" spans="2:8" x14ac:dyDescent="0.3">
      <c r="B10" s="1">
        <v>45977</v>
      </c>
      <c r="C10" s="10"/>
      <c r="D10" s="2">
        <f t="shared" si="0"/>
        <v>0</v>
      </c>
      <c r="E10" s="2"/>
    </row>
    <row r="11" spans="2:8" x14ac:dyDescent="0.3">
      <c r="B11" s="1">
        <v>45984</v>
      </c>
      <c r="C11" s="10"/>
      <c r="D11" s="2">
        <f t="shared" si="0"/>
        <v>0</v>
      </c>
      <c r="E11" s="2"/>
    </row>
    <row r="12" spans="2:8" x14ac:dyDescent="0.3">
      <c r="B12" s="1">
        <v>45991</v>
      </c>
      <c r="C12" s="10"/>
      <c r="D12" s="2">
        <f t="shared" si="0"/>
        <v>0</v>
      </c>
      <c r="E12" s="2"/>
    </row>
    <row r="13" spans="2:8" x14ac:dyDescent="0.3">
      <c r="B13" s="1">
        <v>45998</v>
      </c>
      <c r="C13" s="10"/>
      <c r="D13" s="2">
        <f t="shared" si="0"/>
        <v>0</v>
      </c>
      <c r="E13" s="2"/>
    </row>
    <row r="14" spans="2:8" x14ac:dyDescent="0.3">
      <c r="B14" s="1">
        <v>46005</v>
      </c>
      <c r="C14" s="10"/>
      <c r="D14" s="2">
        <f t="shared" si="0"/>
        <v>0</v>
      </c>
      <c r="E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T212</vt:lpstr>
      <vt:lpstr>eSaver</vt:lpstr>
      <vt:lpstr>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Meijer</dc:creator>
  <cp:lastModifiedBy>Ryan Meijer</cp:lastModifiedBy>
  <dcterms:created xsi:type="dcterms:W3CDTF">2025-10-06T08:42:22Z</dcterms:created>
  <dcterms:modified xsi:type="dcterms:W3CDTF">2025-10-24T09:47:21Z</dcterms:modified>
</cp:coreProperties>
</file>